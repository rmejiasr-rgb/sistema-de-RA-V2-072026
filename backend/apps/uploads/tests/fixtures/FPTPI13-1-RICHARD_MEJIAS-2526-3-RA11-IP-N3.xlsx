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11 IP UNIMET N3- Template" sheetId="1" r:id="rId5"/>
  </sheets>
  <definedNames>
    <definedName hidden="1" localSheetId="0" name="_xlnm._FilterDatabase">'RA11 IP UNIMET N3- Template'!$A$32:$G$82</definedName>
  </definedNames>
  <calcPr/>
</workbook>
</file>

<file path=xl/sharedStrings.xml><?xml version="1.0" encoding="utf-8"?>
<sst xmlns="http://schemas.openxmlformats.org/spreadsheetml/2006/main" count="274" uniqueCount="85">
  <si>
    <t>Asignatura:</t>
  </si>
  <si>
    <t>PRODUCTIVIDAD Y MEDICIÓN DEL TRABAJO</t>
  </si>
  <si>
    <t>Sección:</t>
  </si>
  <si>
    <t>1</t>
  </si>
  <si>
    <t>Resultado</t>
  </si>
  <si>
    <t>Profesor:</t>
  </si>
  <si>
    <t xml:space="preserve">Richard José Mejías                                                             </t>
  </si>
  <si>
    <t>Trimestre:</t>
  </si>
  <si>
    <t>Actividad:</t>
  </si>
  <si>
    <t>Analisis y propuesta de mejora de un proceso productivo</t>
  </si>
  <si>
    <t>Fecha de la Actividad:</t>
  </si>
  <si>
    <t>Objetivo educativo :</t>
  </si>
  <si>
    <t>RA11 IP UNIMET</t>
  </si>
  <si>
    <t>Nivel 3</t>
  </si>
  <si>
    <r>
      <rPr>
        <rFont val="Calibri"/>
        <b/>
        <color theme="1"/>
      </rPr>
      <t xml:space="preserve">RA11 IP - Aplicación Práctica de la Ingeniería en el sector productivo: </t>
    </r>
    <r>
      <rPr>
        <rFont val="Calibri"/>
        <color theme="1"/>
      </rPr>
      <t>Capacidad para crear, seleccionar y aplicar recursos, métodos avanzados y herramientas modernas, que incluyen técnicas de predicción, modelación y tecnologías de la información. Estas habilidades están enfocadas en resolver problemas complejos relacionados con la optimización, diseño y mejora de procesos productivos, garantizando soluciones eficientes y sostenibles en el ámbito industrial.</t>
    </r>
  </si>
  <si>
    <t>Criterios</t>
  </si>
  <si>
    <t>&lt;El profesor debe ajustar y actualizar los criterios que usara en la evaluacion de cada actividad&gt;</t>
  </si>
  <si>
    <t>Criterio</t>
  </si>
  <si>
    <t>Excelente</t>
  </si>
  <si>
    <t xml:space="preserve">Satisfactorio </t>
  </si>
  <si>
    <t>Insatisfactorio</t>
  </si>
  <si>
    <t>Selección y aplicación de recursos y herramientas modernas</t>
  </si>
  <si>
    <t>Integra recursos avanzados y tecnologías innovadoras en el diseño y mejora de procesos productivos, proponiendo soluciones eficientes y sostenibles.</t>
  </si>
  <si>
    <t>Usa métodos modernos con precisión, aunque con mejoras posibles en su impacto y selección estratégica.</t>
  </si>
  <si>
    <t>Aplica herramientas sin demostrar innovación ni contribución efectiva a la optimización de procesos.</t>
  </si>
  <si>
    <t>Predicción y modelación en la resolución de problemas complejos</t>
  </si>
  <si>
    <t>Optimización y mejora de procesos productivos</t>
  </si>
  <si>
    <t>Diseña e implementa soluciones estratégicas con enfoque integral, asegurando una optimización sostenible en el contexto industrial.</t>
  </si>
  <si>
    <t>Optimiza procesos con impacto notable, aunque con posibilidad de perfeccionamiento en el diseño y aplicación.</t>
  </si>
  <si>
    <t>No demuestra capacidad para generar soluciones eficientes y sostenibles.</t>
  </si>
  <si>
    <t>Resumen de resultados</t>
  </si>
  <si>
    <t>&lt;Se rellena automaticamente a partir de los resultados detallados. Por favor NO escriba en casillas de color gris&gt;</t>
  </si>
  <si>
    <t>Total</t>
  </si>
  <si>
    <t>Porcentaje de Aprobados</t>
  </si>
  <si>
    <t>Resultados detallados</t>
  </si>
  <si>
    <t>&lt;El profesor ajusta los criterios de la actividad evaluativa y rellena los resultados de cada estudiante en funcion a Satisfactorio, Insatisfactorio, Excelente&gt;</t>
  </si>
  <si>
    <t>Carrera</t>
  </si>
  <si>
    <t>Nota (%)</t>
  </si>
  <si>
    <t>Alana Laweiko</t>
  </si>
  <si>
    <t>Producción</t>
  </si>
  <si>
    <t>Satisfactorio</t>
  </si>
  <si>
    <t>Alba De Michele</t>
  </si>
  <si>
    <t>Alejandro de Jongh</t>
  </si>
  <si>
    <t>Alexander Ruiz</t>
  </si>
  <si>
    <t>Ana Corina Paris</t>
  </si>
  <si>
    <t>Ana Yanes</t>
  </si>
  <si>
    <t>Antonio Olveira</t>
  </si>
  <si>
    <t>Ariannis Karacachian</t>
  </si>
  <si>
    <t>Arianny Betancourt</t>
  </si>
  <si>
    <t>Camila Santaella</t>
  </si>
  <si>
    <t>Carlos Ochoa</t>
  </si>
  <si>
    <t>Cesar Silva</t>
  </si>
  <si>
    <t>Darío Clavier</t>
  </si>
  <si>
    <t>Diego Alfonso</t>
  </si>
  <si>
    <t>Diego Bejarano</t>
  </si>
  <si>
    <t>Emiliana Hrgetic</t>
  </si>
  <si>
    <t>Enzo Dahdah</t>
  </si>
  <si>
    <t>Fabio Bovanini</t>
  </si>
  <si>
    <t>Flavio Santucci</t>
  </si>
  <si>
    <t>Gabriel Toro</t>
  </si>
  <si>
    <t>Georges Rabbat</t>
  </si>
  <si>
    <t>Guillermo Egui</t>
  </si>
  <si>
    <t>Gustavo Barroso</t>
  </si>
  <si>
    <t>Hadi Nassereddine</t>
  </si>
  <si>
    <t>Isabel Gomez</t>
  </si>
  <si>
    <t>Isabella Esqueda</t>
  </si>
  <si>
    <t>Isabella Forsythe</t>
  </si>
  <si>
    <t>Italo Rojas</t>
  </si>
  <si>
    <t>Javier Ordaz</t>
  </si>
  <si>
    <t>Juan Maldifassi</t>
  </si>
  <si>
    <t>Lucil Dalis</t>
  </si>
  <si>
    <t>Luis Nardone</t>
  </si>
  <si>
    <t>Magdacarolina Hernández</t>
  </si>
  <si>
    <t>Manuel Morgado</t>
  </si>
  <si>
    <t>Maria Vargas</t>
  </si>
  <si>
    <t>Mariangela Pérez</t>
  </si>
  <si>
    <t>Oriana Saez</t>
  </si>
  <si>
    <t>Pedro Olavarría</t>
  </si>
  <si>
    <t>Piero Jarohueh</t>
  </si>
  <si>
    <t>Rodrigo Gonzalez</t>
  </si>
  <si>
    <t>Santiago Fernández</t>
  </si>
  <si>
    <t>Santiago Larrazabal</t>
  </si>
  <si>
    <t>Sarah Benarroch</t>
  </si>
  <si>
    <t>Valentina Vizcarrondo</t>
  </si>
  <si>
    <t>Victoria Jaramillo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</si>
</sst>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d/MM/yyyy"/>
  </numFmts>
  <fonts count="18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sz val="8.0"/>
      <color theme="1"/>
      <name val="Arial"/>
    </font>
    <font>
      <color theme="1"/>
      <name val="Arial"/>
    </font>
    <font>
      <sz val="11.0"/>
      <color theme="1"/>
      <name val="Aptos Narrow"/>
    </font>
    <font/>
    <font>
      <b/>
      <sz val="20.0"/>
      <color theme="1"/>
      <name val="Arial"/>
    </font>
    <font>
      <color theme="1"/>
      <name val="Calibri"/>
    </font>
    <font>
      <b/>
      <sz val="14.0"/>
      <color theme="1"/>
      <name val="Arial"/>
    </font>
    <font>
      <i/>
      <color rgb="FF666666"/>
      <name val="Arial"/>
    </font>
    <font>
      <b/>
      <color theme="1"/>
      <name val="Calibri"/>
    </font>
    <font>
      <i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</font>
    <font>
      <b/>
      <sz val="12.0"/>
      <color theme="1"/>
      <name val="Calibri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</fills>
  <borders count="7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top style="medium">
        <color rgb="FF000000"/>
      </top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FFFFFF"/>
      </top>
      <bottom style="thin">
        <color rgb="FFFFFFFF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FFFFFF"/>
      </top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bottom style="thin">
        <color rgb="FFFFFFFF"/>
      </bottom>
    </border>
    <border>
      <left style="medium">
        <color rgb="FFFFFFFF"/>
      </lef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bottom style="medium">
        <color rgb="FFFFFFFF"/>
      </bottom>
    </border>
    <border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FFFFFF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FFFFFF"/>
      </top>
    </border>
    <border>
      <left style="thin">
        <color rgb="FFFFFFFF"/>
      </left>
      <top style="medium">
        <color rgb="FFFFFFFF"/>
      </top>
    </border>
    <border>
      <right style="medium">
        <color rgb="FFFFFFFF"/>
      </right>
      <top style="medium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medium">
        <color rgb="FF000000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medium">
        <color rgb="FF000000"/>
      </bottom>
    </border>
    <border>
      <left style="thick">
        <color rgb="FF000000"/>
      </left>
      <right style="thin">
        <color rgb="FFFFFFFF"/>
      </right>
      <top style="medium">
        <color rgb="FF000000"/>
      </top>
      <bottom style="thick">
        <color rgb="FF000000"/>
      </bottom>
    </border>
    <border>
      <left style="thin">
        <color rgb="FFFFFFFF"/>
      </left>
      <top style="medium">
        <color rgb="FF000000"/>
      </top>
      <bottom style="thick">
        <color rgb="FF000000"/>
      </bottom>
    </border>
    <border>
      <right style="thin">
        <color rgb="FFFFFFFF"/>
      </right>
      <top style="medium">
        <color rgb="FF000000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medium">
        <color rgb="FF000000"/>
      </top>
      <bottom style="thick">
        <color rgb="FF000000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Alignment="1" applyBorder="1" applyFont="1">
      <alignment horizontal="left" vertical="center"/>
    </xf>
    <xf borderId="5" fillId="2" fontId="1" numFmtId="0" xfId="0" applyAlignment="1" applyBorder="1" applyFill="1" applyFont="1">
      <alignment horizontal="left" vertical="center"/>
    </xf>
    <xf borderId="6" fillId="0" fontId="3" numFmtId="0" xfId="0" applyAlignment="1" applyBorder="1" applyFont="1">
      <alignment readingOrder="0" vertical="center"/>
    </xf>
    <xf borderId="7" fillId="2" fontId="1" numFmtId="0" xfId="0" applyAlignment="1" applyBorder="1" applyFont="1">
      <alignment horizontal="left" vertical="center"/>
    </xf>
    <xf borderId="8" fillId="0" fontId="4" numFmtId="49" xfId="0" applyAlignment="1" applyBorder="1" applyFont="1" applyNumberFormat="1">
      <alignment readingOrder="0" vertical="center"/>
    </xf>
    <xf borderId="9" fillId="0" fontId="2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left" vertical="center"/>
    </xf>
    <xf borderId="0" fillId="0" fontId="5" numFmtId="0" xfId="0" applyFont="1"/>
    <xf borderId="11" fillId="2" fontId="1" numFmtId="0" xfId="0" applyAlignment="1" applyBorder="1" applyFont="1">
      <alignment horizontal="left" vertical="center"/>
    </xf>
    <xf borderId="12" fillId="0" fontId="4" numFmtId="164" xfId="0" applyAlignment="1" applyBorder="1" applyFont="1" applyNumberFormat="1">
      <alignment horizontal="left" readingOrder="0" vertical="center"/>
    </xf>
    <xf borderId="13" fillId="2" fontId="2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/>
    </xf>
    <xf borderId="14" fillId="0" fontId="6" numFmtId="0" xfId="0" applyBorder="1" applyFont="1"/>
    <xf borderId="15" fillId="0" fontId="6" numFmtId="0" xfId="0" applyBorder="1" applyFont="1"/>
    <xf borderId="16" fillId="2" fontId="7" numFmtId="10" xfId="0" applyAlignment="1" applyBorder="1" applyFont="1" applyNumberFormat="1">
      <alignment horizontal="center" vertical="center"/>
    </xf>
    <xf borderId="17" fillId="2" fontId="1" numFmtId="0" xfId="0" applyAlignment="1" applyBorder="1" applyFont="1">
      <alignment horizontal="left" vertical="center"/>
    </xf>
    <xf borderId="18" fillId="0" fontId="4" numFmtId="165" xfId="0" applyAlignment="1" applyBorder="1" applyFont="1" applyNumberFormat="1">
      <alignment horizontal="left"/>
    </xf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" fillId="0" fontId="2" numFmtId="0" xfId="0" applyAlignment="1" applyBorder="1" applyFont="1">
      <alignment horizontal="center"/>
    </xf>
    <xf borderId="22" fillId="0" fontId="2" numFmtId="0" xfId="0" applyAlignment="1" applyBorder="1" applyFont="1">
      <alignment shrinkToFit="0" wrapText="1"/>
    </xf>
    <xf borderId="23" fillId="0" fontId="2" numFmtId="0" xfId="0" applyAlignment="1" applyBorder="1" applyFont="1">
      <alignment horizontal="right"/>
    </xf>
    <xf borderId="24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shrinkToFit="0" wrapText="1"/>
    </xf>
    <xf borderId="2" fillId="0" fontId="4" numFmtId="0" xfId="0" applyBorder="1" applyFont="1"/>
    <xf borderId="0" fillId="0" fontId="8" numFmtId="0" xfId="0" applyAlignment="1" applyFont="1">
      <alignment shrinkToFit="0" vertical="bottom" wrapText="1"/>
    </xf>
    <xf borderId="25" fillId="0" fontId="4" numFmtId="0" xfId="0" applyBorder="1" applyFont="1"/>
    <xf borderId="25" fillId="0" fontId="2" numFmtId="0" xfId="0" applyBorder="1" applyFont="1"/>
    <xf borderId="25" fillId="0" fontId="1" numFmtId="0" xfId="0" applyBorder="1" applyFont="1"/>
    <xf borderId="25" fillId="0" fontId="9" numFmtId="0" xfId="0" applyBorder="1" applyFont="1"/>
    <xf borderId="25" fillId="0" fontId="10" numFmtId="0" xfId="0" applyBorder="1" applyFont="1"/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4" numFmtId="0" xfId="0" applyBorder="1" applyFont="1"/>
    <xf borderId="3" fillId="0" fontId="1" numFmtId="0" xfId="0" applyBorder="1" applyFont="1"/>
    <xf borderId="31" fillId="0" fontId="4" numFmtId="0" xfId="0" applyBorder="1" applyFont="1"/>
    <xf borderId="32" fillId="3" fontId="2" numFmtId="0" xfId="0" applyAlignment="1" applyBorder="1" applyFill="1" applyFont="1">
      <alignment horizontal="center" vertical="top"/>
    </xf>
    <xf borderId="33" fillId="3" fontId="2" numFmtId="0" xfId="0" applyAlignment="1" applyBorder="1" applyFont="1">
      <alignment horizontal="center" vertical="top"/>
    </xf>
    <xf borderId="34" fillId="0" fontId="4" numFmtId="0" xfId="0" applyBorder="1" applyFont="1"/>
    <xf borderId="35" fillId="0" fontId="11" numFmtId="0" xfId="0" applyAlignment="1" applyBorder="1" applyFont="1">
      <alignment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0" fontId="1" numFmtId="0" xfId="0" applyBorder="1" applyFont="1"/>
    <xf borderId="37" fillId="0" fontId="11" numFmtId="0" xfId="0" applyAlignment="1" applyBorder="1" applyFont="1">
      <alignment shrinkToFit="0" vertical="center" wrapText="1"/>
    </xf>
    <xf borderId="37" fillId="0" fontId="8" numFmtId="0" xfId="0" applyAlignment="1" applyBorder="1" applyFont="1">
      <alignment shrinkToFit="0" vertical="center" wrapText="1"/>
    </xf>
    <xf borderId="38" fillId="0" fontId="1" numFmtId="0" xfId="0" applyBorder="1" applyFont="1"/>
    <xf borderId="39" fillId="0" fontId="6" numFmtId="0" xfId="0" applyBorder="1" applyFont="1"/>
    <xf borderId="40" fillId="0" fontId="4" numFmtId="0" xfId="0" applyBorder="1" applyFont="1"/>
    <xf borderId="0" fillId="0" fontId="9" numFmtId="0" xfId="0" applyFont="1"/>
    <xf borderId="0" fillId="0" fontId="12" numFmtId="0" xfId="0" applyFont="1"/>
    <xf borderId="28" fillId="0" fontId="9" numFmtId="0" xfId="0" applyBorder="1" applyFont="1"/>
    <xf borderId="28" fillId="0" fontId="12" numFmtId="0" xfId="0" applyBorder="1" applyFont="1"/>
    <xf borderId="41" fillId="0" fontId="4" numFmtId="0" xfId="0" applyBorder="1" applyFont="1"/>
    <xf borderId="42" fillId="4" fontId="1" numFmtId="0" xfId="0" applyBorder="1" applyFill="1" applyFont="1"/>
    <xf borderId="43" fillId="4" fontId="4" numFmtId="0" xfId="0" applyBorder="1" applyFont="1"/>
    <xf borderId="43" fillId="4" fontId="2" numFmtId="0" xfId="0" applyAlignment="1" applyBorder="1" applyFont="1">
      <alignment horizontal="center" vertical="top"/>
    </xf>
    <xf borderId="25" fillId="4" fontId="1" numFmtId="0" xfId="0" applyBorder="1" applyFont="1"/>
    <xf borderId="31" fillId="0" fontId="1" numFmtId="0" xfId="0" applyBorder="1" applyFont="1"/>
    <xf borderId="44" fillId="5" fontId="2" numFmtId="0" xfId="0" applyAlignment="1" applyBorder="1" applyFill="1" applyFont="1">
      <alignment horizontal="center" vertical="top"/>
    </xf>
    <xf borderId="45" fillId="5" fontId="2" numFmtId="0" xfId="0" applyAlignment="1" applyBorder="1" applyFont="1">
      <alignment horizontal="center" vertical="top"/>
    </xf>
    <xf borderId="46" fillId="5" fontId="2" numFmtId="0" xfId="0" applyAlignment="1" applyBorder="1" applyFont="1">
      <alignment horizontal="center" vertical="top"/>
    </xf>
    <xf borderId="47" fillId="0" fontId="4" numFmtId="0" xfId="0" applyBorder="1" applyFont="1"/>
    <xf borderId="48" fillId="2" fontId="13" numFmtId="0" xfId="0" applyAlignment="1" applyBorder="1" applyFont="1">
      <alignment shrinkToFit="0" vertical="top" wrapText="1"/>
    </xf>
    <xf borderId="49" fillId="3" fontId="14" numFmtId="0" xfId="0" applyAlignment="1" applyBorder="1" applyFont="1">
      <alignment horizontal="center" shrinkToFit="0" vertical="center" wrapText="1"/>
    </xf>
    <xf borderId="35" fillId="3" fontId="14" numFmtId="0" xfId="0" applyAlignment="1" applyBorder="1" applyFont="1">
      <alignment horizontal="center" shrinkToFit="0" vertical="center" wrapText="1"/>
    </xf>
    <xf borderId="50" fillId="3" fontId="14" numFmtId="0" xfId="0" applyAlignment="1" applyBorder="1" applyFont="1">
      <alignment horizontal="center" shrinkToFit="0" vertical="center" wrapText="1"/>
    </xf>
    <xf borderId="51" fillId="2" fontId="13" numFmtId="0" xfId="0" applyAlignment="1" applyBorder="1" applyFont="1">
      <alignment shrinkToFit="0" vertical="top" wrapText="1"/>
    </xf>
    <xf borderId="52" fillId="0" fontId="2" numFmtId="0" xfId="0" applyBorder="1" applyFont="1"/>
    <xf borderId="53" fillId="2" fontId="1" numFmtId="0" xfId="0" applyAlignment="1" applyBorder="1" applyFont="1">
      <alignment horizontal="center"/>
    </xf>
    <xf borderId="54" fillId="2" fontId="1" numFmtId="0" xfId="0" applyAlignment="1" applyBorder="1" applyFont="1">
      <alignment horizontal="center"/>
    </xf>
    <xf borderId="55" fillId="0" fontId="1" numFmtId="0" xfId="0" applyBorder="1" applyFont="1"/>
    <xf borderId="56" fillId="2" fontId="2" numFmtId="10" xfId="0" applyAlignment="1" applyBorder="1" applyFont="1" applyNumberFormat="1">
      <alignment horizontal="center"/>
    </xf>
    <xf borderId="57" fillId="2" fontId="2" numFmtId="10" xfId="0" applyAlignment="1" applyBorder="1" applyFont="1" applyNumberFormat="1">
      <alignment horizontal="center"/>
    </xf>
    <xf borderId="58" fillId="0" fontId="2" numFmtId="0" xfId="0" applyBorder="1" applyFont="1"/>
    <xf borderId="59" fillId="6" fontId="1" numFmtId="10" xfId="0" applyAlignment="1" applyBorder="1" applyFill="1" applyFont="1" applyNumberFormat="1">
      <alignment horizontal="center"/>
    </xf>
    <xf borderId="60" fillId="0" fontId="6" numFmtId="0" xfId="0" applyBorder="1" applyFont="1"/>
    <xf borderId="61" fillId="0" fontId="1" numFmtId="0" xfId="0" applyAlignment="1" applyBorder="1" applyFont="1">
      <alignment horizontal="center"/>
    </xf>
    <xf borderId="23" fillId="0" fontId="4" numFmtId="0" xfId="0" applyBorder="1" applyFont="1"/>
    <xf borderId="62" fillId="0" fontId="1" numFmtId="0" xfId="0" applyBorder="1" applyFont="1"/>
    <xf borderId="63" fillId="0" fontId="4" numFmtId="0" xfId="0" applyBorder="1" applyFont="1"/>
    <xf borderId="62" fillId="0" fontId="4" numFmtId="0" xfId="0" applyBorder="1" applyFont="1"/>
    <xf borderId="64" fillId="0" fontId="1" numFmtId="0" xfId="0" applyBorder="1" applyFont="1"/>
    <xf borderId="2" fillId="0" fontId="9" numFmtId="0" xfId="0" applyBorder="1" applyFont="1"/>
    <xf borderId="65" fillId="0" fontId="1" numFmtId="0" xfId="0" applyBorder="1" applyFont="1"/>
    <xf borderId="43" fillId="0" fontId="1" numFmtId="0" xfId="0" applyBorder="1" applyFont="1"/>
    <xf borderId="66" fillId="0" fontId="1" numFmtId="0" xfId="0" applyBorder="1" applyFont="1"/>
    <xf borderId="67" fillId="0" fontId="1" numFmtId="0" xfId="0" applyBorder="1" applyFont="1"/>
    <xf borderId="68" fillId="0" fontId="2" numFmtId="0" xfId="0" applyAlignment="1" applyBorder="1" applyFont="1">
      <alignment horizontal="center" vertical="center"/>
    </xf>
    <xf borderId="33" fillId="0" fontId="15" numFmtId="0" xfId="0" applyAlignment="1" applyBorder="1" applyFont="1">
      <alignment horizontal="center" vertical="center"/>
    </xf>
    <xf borderId="69" fillId="0" fontId="13" numFmtId="0" xfId="0" applyAlignment="1" applyBorder="1" applyFont="1">
      <alignment shrinkToFit="0" vertical="top" wrapText="1"/>
    </xf>
    <xf borderId="70" fillId="0" fontId="13" numFmtId="0" xfId="0" applyAlignment="1" applyBorder="1" applyFont="1">
      <alignment shrinkToFit="0" vertical="top" wrapText="1"/>
    </xf>
    <xf borderId="71" fillId="0" fontId="16" numFmtId="0" xfId="0" applyAlignment="1" applyBorder="1" applyFont="1">
      <alignment horizontal="center" shrinkToFit="0" vertical="top" wrapText="1"/>
    </xf>
    <xf borderId="31" fillId="0" fontId="1" numFmtId="0" xfId="0" applyAlignment="1" applyBorder="1" applyFont="1">
      <alignment readingOrder="0"/>
    </xf>
    <xf borderId="72" fillId="0" fontId="1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32" fillId="0" fontId="1" numFmtId="2" xfId="0" applyAlignment="1" applyBorder="1" applyFont="1" applyNumberFormat="1">
      <alignment horizontal="center" vertical="center"/>
    </xf>
    <xf borderId="73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center"/>
    </xf>
    <xf borderId="74" fillId="0" fontId="17" numFmtId="0" xfId="0" applyAlignment="1" applyBorder="1" applyFont="1">
      <alignment readingOrder="0"/>
    </xf>
    <xf borderId="75" fillId="0" fontId="4" numFmtId="0" xfId="0" applyAlignment="1" applyBorder="1" applyFont="1">
      <alignment vertical="bottom"/>
    </xf>
    <xf borderId="75" fillId="0" fontId="1" numFmtId="0" xfId="0" applyAlignment="1" applyBorder="1" applyFont="1">
      <alignment horizontal="center" vertical="center"/>
    </xf>
    <xf borderId="76" fillId="0" fontId="1" numFmtId="0" xfId="0" applyBorder="1" applyFont="1"/>
    <xf borderId="77" fillId="0" fontId="1" numFmtId="0" xfId="0" applyBorder="1" applyFont="1"/>
    <xf borderId="77" fillId="0" fontId="1" numFmtId="0" xfId="0" applyAlignment="1" applyBorder="1" applyFont="1">
      <alignment horizontal="center"/>
    </xf>
    <xf borderId="25" fillId="0" fontId="2" numFmtId="0" xfId="0" applyAlignment="1" applyBorder="1" applyFont="1">
      <alignment horizontal="center"/>
    </xf>
    <xf borderId="0" fillId="0" fontId="2" numFmtId="0" xfId="0" applyFont="1"/>
    <xf borderId="0" fillId="3" fontId="1" numFmtId="0" xfId="0" applyAlignment="1" applyFont="1">
      <alignment horizontal="center"/>
    </xf>
    <xf borderId="3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7.5"/>
    <col customWidth="1" min="3" max="6" width="32.63"/>
  </cols>
  <sheetData>
    <row r="1" ht="15.75" customHeight="1">
      <c r="A1" s="1"/>
      <c r="B1" s="2"/>
      <c r="C1" s="2"/>
      <c r="D1" s="2"/>
      <c r="E1" s="2"/>
      <c r="F1" s="2"/>
      <c r="G1" s="3"/>
    </row>
    <row r="2" ht="23.25" customHeight="1">
      <c r="A2" s="4"/>
      <c r="B2" s="5" t="s">
        <v>0</v>
      </c>
      <c r="C2" s="6" t="s">
        <v>1</v>
      </c>
      <c r="D2" s="7" t="s">
        <v>2</v>
      </c>
      <c r="E2" s="8" t="s">
        <v>3</v>
      </c>
      <c r="F2" s="9" t="s">
        <v>4</v>
      </c>
      <c r="G2" s="3"/>
    </row>
    <row r="3" ht="22.5" customHeight="1">
      <c r="A3" s="4"/>
      <c r="B3" s="10" t="s">
        <v>5</v>
      </c>
      <c r="C3" s="11" t="s">
        <v>6</v>
      </c>
      <c r="D3" s="12" t="s">
        <v>7</v>
      </c>
      <c r="E3" s="13">
        <v>228703.0</v>
      </c>
      <c r="F3" s="14"/>
      <c r="G3" s="3"/>
    </row>
    <row r="4" ht="22.5" customHeight="1">
      <c r="A4" s="4"/>
      <c r="B4" s="10" t="s">
        <v>8</v>
      </c>
      <c r="C4" s="15" t="s">
        <v>9</v>
      </c>
      <c r="D4" s="16"/>
      <c r="E4" s="17"/>
      <c r="F4" s="18">
        <f>C26</f>
        <v>0.8666666667</v>
      </c>
      <c r="G4" s="3"/>
    </row>
    <row r="5" ht="22.5" customHeight="1">
      <c r="A5" s="4"/>
      <c r="B5" s="19" t="s">
        <v>10</v>
      </c>
      <c r="C5" s="20">
        <v>46211.0</v>
      </c>
      <c r="D5" s="21"/>
      <c r="E5" s="22"/>
      <c r="F5" s="23"/>
      <c r="G5" s="3"/>
    </row>
    <row r="6" ht="15.75" customHeight="1">
      <c r="A6" s="24"/>
      <c r="B6" s="25"/>
      <c r="C6" s="26"/>
      <c r="D6" s="27"/>
      <c r="E6" s="27"/>
      <c r="F6" s="27"/>
      <c r="G6" s="3"/>
    </row>
    <row r="7" ht="15.75" customHeight="1">
      <c r="A7" s="24"/>
      <c r="B7" s="28" t="s">
        <v>11</v>
      </c>
      <c r="C7" s="29" t="s">
        <v>12</v>
      </c>
      <c r="D7" s="30" t="s">
        <v>13</v>
      </c>
      <c r="E7" s="30"/>
      <c r="F7" s="30"/>
      <c r="G7" s="3"/>
    </row>
    <row r="8" ht="15.75" customHeight="1">
      <c r="A8" s="31"/>
      <c r="C8" s="32" t="s">
        <v>14</v>
      </c>
      <c r="G8" s="3"/>
    </row>
    <row r="9" ht="15.75" customHeight="1">
      <c r="A9" s="33"/>
      <c r="B9" s="34"/>
      <c r="C9" s="33"/>
      <c r="D9" s="33"/>
      <c r="E9" s="33"/>
      <c r="F9" s="33"/>
      <c r="G9" s="35"/>
    </row>
    <row r="10" ht="15.75" customHeight="1">
      <c r="A10" s="33"/>
      <c r="B10" s="36" t="s">
        <v>15</v>
      </c>
      <c r="C10" s="37" t="s">
        <v>16</v>
      </c>
      <c r="D10" s="33"/>
      <c r="E10" s="33"/>
      <c r="F10" s="33"/>
      <c r="G10" s="35"/>
    </row>
    <row r="11" ht="15.75" customHeight="1">
      <c r="A11" s="38"/>
      <c r="B11" s="39"/>
      <c r="C11" s="40"/>
      <c r="D11" s="40"/>
      <c r="E11" s="41"/>
      <c r="F11" s="42"/>
      <c r="G11" s="43"/>
    </row>
    <row r="12" ht="15.75" customHeight="1">
      <c r="A12" s="44"/>
      <c r="B12" s="45" t="s">
        <v>17</v>
      </c>
      <c r="C12" s="46" t="s">
        <v>18</v>
      </c>
      <c r="D12" s="46" t="s">
        <v>19</v>
      </c>
      <c r="E12" s="46" t="s">
        <v>20</v>
      </c>
      <c r="F12" s="47"/>
      <c r="G12" s="43"/>
    </row>
    <row r="13" ht="15.75" customHeight="1">
      <c r="A13" s="44"/>
      <c r="B13" s="48" t="s">
        <v>21</v>
      </c>
      <c r="C13" s="49" t="s">
        <v>22</v>
      </c>
      <c r="D13" s="49" t="s">
        <v>23</v>
      </c>
      <c r="E13" s="49" t="s">
        <v>24</v>
      </c>
      <c r="F13" s="47"/>
      <c r="G13" s="50"/>
    </row>
    <row r="14" ht="15.75" customHeight="1">
      <c r="A14" s="44"/>
      <c r="B14" s="48" t="s">
        <v>25</v>
      </c>
      <c r="C14" s="49" t="s">
        <v>22</v>
      </c>
      <c r="D14" s="49" t="s">
        <v>23</v>
      </c>
      <c r="E14" s="49" t="s">
        <v>24</v>
      </c>
      <c r="F14" s="47"/>
      <c r="G14" s="50"/>
    </row>
    <row r="15" ht="15.75" customHeight="1">
      <c r="A15" s="44"/>
      <c r="B15" s="51" t="s">
        <v>26</v>
      </c>
      <c r="C15" s="52" t="s">
        <v>27</v>
      </c>
      <c r="D15" s="52" t="s">
        <v>28</v>
      </c>
      <c r="E15" s="52" t="s">
        <v>29</v>
      </c>
      <c r="F15" s="47"/>
      <c r="G15" s="50"/>
    </row>
    <row r="16" ht="35.25" customHeight="1">
      <c r="A16" s="53"/>
      <c r="B16" s="54"/>
      <c r="C16" s="54"/>
      <c r="D16" s="54"/>
      <c r="E16" s="54"/>
      <c r="F16" s="55"/>
      <c r="G16" s="50"/>
    </row>
    <row r="17" ht="15.75" customHeight="1">
      <c r="A17" s="53"/>
      <c r="B17" s="56"/>
      <c r="C17" s="57"/>
      <c r="F17" s="55"/>
      <c r="G17" s="50"/>
    </row>
    <row r="18" ht="15.75" customHeight="1">
      <c r="A18" s="53"/>
      <c r="B18" s="58" t="s">
        <v>30</v>
      </c>
      <c r="C18" s="59" t="s">
        <v>31</v>
      </c>
      <c r="D18" s="40"/>
      <c r="E18" s="41"/>
      <c r="F18" s="60"/>
      <c r="G18" s="50"/>
    </row>
    <row r="19" ht="15.75" customHeight="1">
      <c r="A19" s="61"/>
      <c r="B19" s="62"/>
      <c r="C19" s="63"/>
      <c r="D19" s="63"/>
      <c r="E19" s="63"/>
      <c r="F19" s="63"/>
      <c r="G19" s="64"/>
    </row>
    <row r="20" ht="15.75" customHeight="1">
      <c r="A20" s="65"/>
      <c r="B20" s="66" t="s">
        <v>17</v>
      </c>
      <c r="C20" s="67" t="s">
        <v>18</v>
      </c>
      <c r="D20" s="67" t="s">
        <v>19</v>
      </c>
      <c r="E20" s="68" t="s">
        <v>20</v>
      </c>
      <c r="F20" s="69"/>
      <c r="G20" s="50"/>
    </row>
    <row r="21" ht="15.75" customHeight="1">
      <c r="A21" s="65"/>
      <c r="B21" s="70" t="str">
        <f t="shared" ref="B21:B23" si="1">B13</f>
        <v>Selección y aplicación de recursos y herramientas modernas</v>
      </c>
      <c r="C21" s="71">
        <f>C84</f>
        <v>6</v>
      </c>
      <c r="D21" s="72">
        <f>C85</f>
        <v>33</v>
      </c>
      <c r="E21" s="73">
        <f>C86</f>
        <v>6</v>
      </c>
      <c r="F21" s="69"/>
      <c r="G21" s="50"/>
    </row>
    <row r="22" ht="15.75" customHeight="1">
      <c r="A22" s="65"/>
      <c r="B22" s="74" t="str">
        <f t="shared" si="1"/>
        <v>Predicción y modelación en la resolución de problemas complejos</v>
      </c>
      <c r="C22" s="71">
        <f>D84</f>
        <v>6</v>
      </c>
      <c r="D22" s="72">
        <f>D85</f>
        <v>33</v>
      </c>
      <c r="E22" s="73">
        <f>D86</f>
        <v>6</v>
      </c>
      <c r="F22" s="69"/>
      <c r="G22" s="50"/>
    </row>
    <row r="23" ht="15.75" customHeight="1">
      <c r="A23" s="65"/>
      <c r="B23" s="74" t="str">
        <f t="shared" si="1"/>
        <v>Optimización y mejora de procesos productivos</v>
      </c>
      <c r="C23" s="71">
        <f>E84</f>
        <v>11</v>
      </c>
      <c r="D23" s="72">
        <f>E85</f>
        <v>28</v>
      </c>
      <c r="E23" s="73">
        <f>E86</f>
        <v>6</v>
      </c>
      <c r="F23" s="69"/>
      <c r="G23" s="50"/>
    </row>
    <row r="24" ht="15.75" customHeight="1">
      <c r="A24" s="65"/>
      <c r="B24" s="75" t="s">
        <v>32</v>
      </c>
      <c r="C24" s="76">
        <f t="shared" ref="C24:E24" si="2">SUM(C21:C23)</f>
        <v>23</v>
      </c>
      <c r="D24" s="76">
        <f t="shared" si="2"/>
        <v>94</v>
      </c>
      <c r="E24" s="77">
        <f t="shared" si="2"/>
        <v>18</v>
      </c>
      <c r="F24" s="69"/>
      <c r="G24" s="50"/>
    </row>
    <row r="25" ht="15.75" customHeight="1">
      <c r="A25" s="65"/>
      <c r="B25" s="78"/>
      <c r="C25" s="79">
        <f t="shared" ref="C25:E25" si="3">SUM(C20:C23)/SUM($C$21:$E$23)</f>
        <v>0.1703703704</v>
      </c>
      <c r="D25" s="79">
        <f t="shared" si="3"/>
        <v>0.6962962963</v>
      </c>
      <c r="E25" s="80">
        <f t="shared" si="3"/>
        <v>0.1333333333</v>
      </c>
      <c r="F25" s="69"/>
      <c r="G25" s="50"/>
    </row>
    <row r="26" ht="21.0" customHeight="1">
      <c r="A26" s="65"/>
      <c r="B26" s="81" t="s">
        <v>33</v>
      </c>
      <c r="C26" s="82">
        <f>C25+D25</f>
        <v>0.8666666667</v>
      </c>
      <c r="D26" s="83"/>
      <c r="E26" s="84"/>
      <c r="F26" s="69"/>
      <c r="G26" s="50"/>
    </row>
    <row r="27" ht="15.75" customHeight="1">
      <c r="A27" s="65"/>
      <c r="B27" s="85"/>
      <c r="C27" s="86"/>
      <c r="D27" s="87"/>
      <c r="E27" s="87"/>
      <c r="F27" s="88"/>
      <c r="G27" s="50"/>
    </row>
    <row r="28" ht="15.75" customHeight="1">
      <c r="A28" s="65"/>
      <c r="B28" s="31"/>
      <c r="C28" s="43"/>
      <c r="D28" s="35"/>
      <c r="E28" s="35"/>
      <c r="F28" s="89"/>
      <c r="G28" s="50"/>
    </row>
    <row r="29" ht="15.75" customHeight="1">
      <c r="A29" s="65"/>
      <c r="B29" s="90" t="s">
        <v>34</v>
      </c>
      <c r="C29" s="59" t="s">
        <v>35</v>
      </c>
      <c r="E29" s="35"/>
      <c r="F29" s="35"/>
      <c r="G29" s="50"/>
    </row>
    <row r="30" ht="15.75" customHeight="1">
      <c r="A30" s="65"/>
      <c r="B30" s="31"/>
      <c r="C30" s="91"/>
      <c r="D30" s="92"/>
      <c r="E30" s="92"/>
      <c r="F30" s="92"/>
      <c r="G30" s="50"/>
    </row>
    <row r="31" ht="15.75" customHeight="1">
      <c r="A31" s="65"/>
      <c r="B31" s="31"/>
      <c r="C31" s="93"/>
      <c r="D31" s="2"/>
      <c r="E31" s="2"/>
      <c r="F31" s="94"/>
      <c r="G31" s="50"/>
    </row>
    <row r="32">
      <c r="A32" s="65"/>
      <c r="B32" s="95" t="s">
        <v>15</v>
      </c>
      <c r="C32" s="96" t="s">
        <v>36</v>
      </c>
      <c r="D32" s="97" t="str">
        <f>B13</f>
        <v>Selección y aplicación de recursos y herramientas modernas</v>
      </c>
      <c r="E32" s="98" t="str">
        <f>B14</f>
        <v>Predicción y modelación en la resolución de problemas complejos</v>
      </c>
      <c r="F32" s="98" t="str">
        <f>B15</f>
        <v>Optimización y mejora de procesos productivos</v>
      </c>
      <c r="G32" s="99" t="s">
        <v>37</v>
      </c>
    </row>
    <row r="33" ht="15.75" customHeight="1">
      <c r="A33" s="100">
        <v>3.0</v>
      </c>
      <c r="B33" s="101" t="s">
        <v>38</v>
      </c>
      <c r="C33" s="102" t="s">
        <v>39</v>
      </c>
      <c r="D33" s="103" t="s">
        <v>40</v>
      </c>
      <c r="E33" s="103" t="s">
        <v>40</v>
      </c>
      <c r="F33" s="104" t="s">
        <v>40</v>
      </c>
      <c r="G33" s="105">
        <f t="shared" ref="G33:G82" si="4">((IF(D33="Excelente",1,IF(D33="Satisfactorio",(0.5),IF(D33="Insatisfactorio",0,0)))+(IF(E33="Excelente",1,IF(E33="Satisfactorio",(0.5),IF(E33="Insatisfactorio",0,0)))))+(IF(F33="Excelente",1,IF(F33="Satisfactorio",(0.5),IF(F33="Insatisfactorio",0,0)))))*100/3</f>
        <v>50</v>
      </c>
    </row>
    <row r="34" ht="15.75" customHeight="1">
      <c r="A34" s="100">
        <v>1.0</v>
      </c>
      <c r="B34" s="106" t="s">
        <v>41</v>
      </c>
      <c r="C34" s="102" t="s">
        <v>39</v>
      </c>
      <c r="D34" s="103" t="s">
        <v>40</v>
      </c>
      <c r="E34" s="103" t="s">
        <v>40</v>
      </c>
      <c r="F34" s="104" t="s">
        <v>18</v>
      </c>
      <c r="G34" s="105">
        <f t="shared" si="4"/>
        <v>66.66666667</v>
      </c>
    </row>
    <row r="35" ht="15.75" customHeight="1">
      <c r="A35" s="100">
        <v>5.0</v>
      </c>
      <c r="B35" s="106" t="s">
        <v>42</v>
      </c>
      <c r="C35" s="102" t="s">
        <v>39</v>
      </c>
      <c r="D35" s="107" t="s">
        <v>40</v>
      </c>
      <c r="E35" s="107" t="s">
        <v>40</v>
      </c>
      <c r="F35" s="107" t="s">
        <v>40</v>
      </c>
      <c r="G35" s="105">
        <f t="shared" si="4"/>
        <v>50</v>
      </c>
    </row>
    <row r="36" ht="15.75" customHeight="1">
      <c r="A36" s="100">
        <v>7.0</v>
      </c>
      <c r="B36" s="106" t="s">
        <v>43</v>
      </c>
      <c r="C36" s="102" t="s">
        <v>39</v>
      </c>
      <c r="D36" s="107" t="s">
        <v>40</v>
      </c>
      <c r="E36" s="107" t="s">
        <v>40</v>
      </c>
      <c r="F36" s="107" t="s">
        <v>40</v>
      </c>
      <c r="G36" s="105">
        <f t="shared" si="4"/>
        <v>50</v>
      </c>
    </row>
    <row r="37" ht="15.75" customHeight="1">
      <c r="A37" s="100">
        <v>1.0</v>
      </c>
      <c r="B37" s="106" t="s">
        <v>44</v>
      </c>
      <c r="C37" s="102" t="s">
        <v>39</v>
      </c>
      <c r="D37" s="103" t="s">
        <v>40</v>
      </c>
      <c r="E37" s="103" t="s">
        <v>40</v>
      </c>
      <c r="F37" s="104" t="s">
        <v>18</v>
      </c>
      <c r="G37" s="105">
        <f t="shared" si="4"/>
        <v>66.66666667</v>
      </c>
    </row>
    <row r="38" ht="15.75" customHeight="1">
      <c r="A38" s="100">
        <v>7.0</v>
      </c>
      <c r="B38" s="106" t="s">
        <v>45</v>
      </c>
      <c r="C38" s="102" t="s">
        <v>39</v>
      </c>
      <c r="D38" s="107" t="s">
        <v>40</v>
      </c>
      <c r="E38" s="107" t="s">
        <v>40</v>
      </c>
      <c r="F38" s="107" t="s">
        <v>40</v>
      </c>
      <c r="G38" s="105">
        <f t="shared" si="4"/>
        <v>50</v>
      </c>
    </row>
    <row r="39" ht="15.75" customHeight="1">
      <c r="A39" s="100">
        <v>5.0</v>
      </c>
      <c r="B39" s="106" t="s">
        <v>46</v>
      </c>
      <c r="C39" s="102" t="s">
        <v>39</v>
      </c>
      <c r="D39" s="107" t="s">
        <v>40</v>
      </c>
      <c r="E39" s="107" t="s">
        <v>40</v>
      </c>
      <c r="F39" s="107" t="s">
        <v>40</v>
      </c>
      <c r="G39" s="105">
        <f t="shared" si="4"/>
        <v>50</v>
      </c>
    </row>
    <row r="40" ht="15.75" customHeight="1">
      <c r="A40" s="100">
        <v>8.0</v>
      </c>
      <c r="B40" s="106" t="s">
        <v>47</v>
      </c>
      <c r="C40" s="102" t="s">
        <v>39</v>
      </c>
      <c r="D40" s="103" t="s">
        <v>18</v>
      </c>
      <c r="E40" s="103" t="s">
        <v>18</v>
      </c>
      <c r="F40" s="103" t="s">
        <v>18</v>
      </c>
      <c r="G40" s="105">
        <f t="shared" si="4"/>
        <v>100</v>
      </c>
    </row>
    <row r="41" ht="15.75" customHeight="1">
      <c r="A41" s="100">
        <v>8.0</v>
      </c>
      <c r="B41" s="106" t="s">
        <v>48</v>
      </c>
      <c r="C41" s="102" t="s">
        <v>39</v>
      </c>
      <c r="D41" s="103" t="s">
        <v>18</v>
      </c>
      <c r="E41" s="103" t="s">
        <v>18</v>
      </c>
      <c r="F41" s="103" t="s">
        <v>18</v>
      </c>
      <c r="G41" s="105">
        <f t="shared" si="4"/>
        <v>100</v>
      </c>
    </row>
    <row r="42" ht="15.75" customHeight="1">
      <c r="A42" s="100">
        <v>3.0</v>
      </c>
      <c r="B42" s="106" t="s">
        <v>49</v>
      </c>
      <c r="C42" s="102" t="s">
        <v>39</v>
      </c>
      <c r="D42" s="103" t="s">
        <v>40</v>
      </c>
      <c r="E42" s="103" t="s">
        <v>40</v>
      </c>
      <c r="F42" s="104" t="s">
        <v>40</v>
      </c>
      <c r="G42" s="105">
        <f t="shared" si="4"/>
        <v>50</v>
      </c>
    </row>
    <row r="43" ht="15.75" customHeight="1">
      <c r="A43" s="100">
        <v>8.0</v>
      </c>
      <c r="B43" s="106" t="s">
        <v>50</v>
      </c>
      <c r="C43" s="102" t="s">
        <v>39</v>
      </c>
      <c r="D43" s="103" t="s">
        <v>18</v>
      </c>
      <c r="E43" s="103" t="s">
        <v>18</v>
      </c>
      <c r="F43" s="103" t="s">
        <v>18</v>
      </c>
      <c r="G43" s="105">
        <f t="shared" si="4"/>
        <v>100</v>
      </c>
    </row>
    <row r="44" ht="15.75" customHeight="1">
      <c r="A44" s="100">
        <v>2.0</v>
      </c>
      <c r="B44" s="106" t="s">
        <v>51</v>
      </c>
      <c r="C44" s="102" t="s">
        <v>39</v>
      </c>
      <c r="D44" s="103" t="s">
        <v>40</v>
      </c>
      <c r="E44" s="103" t="s">
        <v>40</v>
      </c>
      <c r="F44" s="104" t="s">
        <v>40</v>
      </c>
      <c r="G44" s="105">
        <f t="shared" si="4"/>
        <v>50</v>
      </c>
    </row>
    <row r="45" ht="15.75" customHeight="1">
      <c r="A45" s="100">
        <v>2.0</v>
      </c>
      <c r="B45" s="106" t="s">
        <v>52</v>
      </c>
      <c r="C45" s="102" t="s">
        <v>39</v>
      </c>
      <c r="D45" s="103" t="s">
        <v>40</v>
      </c>
      <c r="E45" s="103" t="s">
        <v>40</v>
      </c>
      <c r="F45" s="104" t="s">
        <v>40</v>
      </c>
      <c r="G45" s="105">
        <f t="shared" si="4"/>
        <v>50</v>
      </c>
    </row>
    <row r="46" ht="15.75" customHeight="1">
      <c r="A46" s="100">
        <v>2.0</v>
      </c>
      <c r="B46" s="106" t="s">
        <v>53</v>
      </c>
      <c r="C46" s="102" t="s">
        <v>39</v>
      </c>
      <c r="D46" s="103" t="s">
        <v>40</v>
      </c>
      <c r="E46" s="103" t="s">
        <v>40</v>
      </c>
      <c r="F46" s="104" t="s">
        <v>40</v>
      </c>
      <c r="G46" s="105">
        <f t="shared" si="4"/>
        <v>50</v>
      </c>
    </row>
    <row r="47" ht="15.75" customHeight="1">
      <c r="A47" s="100">
        <v>4.0</v>
      </c>
      <c r="B47" s="106" t="s">
        <v>54</v>
      </c>
      <c r="C47" s="102" t="s">
        <v>39</v>
      </c>
      <c r="D47" s="103" t="s">
        <v>20</v>
      </c>
      <c r="E47" s="103" t="s">
        <v>20</v>
      </c>
      <c r="F47" s="103" t="s">
        <v>20</v>
      </c>
      <c r="G47" s="105">
        <f t="shared" si="4"/>
        <v>0</v>
      </c>
    </row>
    <row r="48" ht="15.75" customHeight="1">
      <c r="A48" s="100">
        <v>3.0</v>
      </c>
      <c r="B48" s="106" t="s">
        <v>55</v>
      </c>
      <c r="C48" s="102" t="s">
        <v>39</v>
      </c>
      <c r="D48" s="103" t="s">
        <v>40</v>
      </c>
      <c r="E48" s="103" t="s">
        <v>40</v>
      </c>
      <c r="F48" s="104" t="s">
        <v>40</v>
      </c>
      <c r="G48" s="105">
        <f t="shared" si="4"/>
        <v>50</v>
      </c>
    </row>
    <row r="49" ht="15.75" customHeight="1">
      <c r="A49" s="100">
        <v>2.0</v>
      </c>
      <c r="B49" s="106" t="s">
        <v>56</v>
      </c>
      <c r="C49" s="102" t="s">
        <v>39</v>
      </c>
      <c r="D49" s="103" t="s">
        <v>40</v>
      </c>
      <c r="E49" s="103" t="s">
        <v>40</v>
      </c>
      <c r="F49" s="104" t="s">
        <v>40</v>
      </c>
      <c r="G49" s="105">
        <f t="shared" si="4"/>
        <v>50</v>
      </c>
    </row>
    <row r="50" ht="15.75" customHeight="1">
      <c r="A50" s="100">
        <v>1.0</v>
      </c>
      <c r="B50" s="106" t="s">
        <v>57</v>
      </c>
      <c r="C50" s="102" t="s">
        <v>39</v>
      </c>
      <c r="D50" s="103" t="s">
        <v>40</v>
      </c>
      <c r="E50" s="103" t="s">
        <v>40</v>
      </c>
      <c r="F50" s="104" t="s">
        <v>18</v>
      </c>
      <c r="G50" s="105">
        <f t="shared" si="4"/>
        <v>66.66666667</v>
      </c>
    </row>
    <row r="51" ht="15.75" customHeight="1">
      <c r="A51" s="100">
        <v>6.0</v>
      </c>
      <c r="B51" s="106" t="s">
        <v>58</v>
      </c>
      <c r="C51" s="102" t="s">
        <v>39</v>
      </c>
      <c r="D51" s="107" t="s">
        <v>40</v>
      </c>
      <c r="E51" s="107" t="s">
        <v>40</v>
      </c>
      <c r="F51" s="107" t="s">
        <v>40</v>
      </c>
      <c r="G51" s="105">
        <f t="shared" si="4"/>
        <v>50</v>
      </c>
    </row>
    <row r="52" ht="15.75" customHeight="1">
      <c r="A52" s="100">
        <v>6.0</v>
      </c>
      <c r="B52" s="106" t="s">
        <v>59</v>
      </c>
      <c r="C52" s="102" t="s">
        <v>39</v>
      </c>
      <c r="D52" s="107" t="s">
        <v>40</v>
      </c>
      <c r="E52" s="107" t="s">
        <v>40</v>
      </c>
      <c r="F52" s="107" t="s">
        <v>40</v>
      </c>
      <c r="G52" s="105">
        <f t="shared" si="4"/>
        <v>50</v>
      </c>
    </row>
    <row r="53" ht="15.75" customHeight="1">
      <c r="A53" s="100">
        <v>6.0</v>
      </c>
      <c r="B53" s="106" t="s">
        <v>60</v>
      </c>
      <c r="C53" s="102" t="s">
        <v>39</v>
      </c>
      <c r="D53" s="107" t="s">
        <v>40</v>
      </c>
      <c r="E53" s="107" t="s">
        <v>40</v>
      </c>
      <c r="F53" s="107" t="s">
        <v>40</v>
      </c>
      <c r="G53" s="105">
        <f t="shared" si="4"/>
        <v>50</v>
      </c>
    </row>
    <row r="54" ht="15.75" customHeight="1">
      <c r="A54" s="100">
        <v>6.0</v>
      </c>
      <c r="B54" s="106" t="s">
        <v>61</v>
      </c>
      <c r="C54" s="102" t="s">
        <v>39</v>
      </c>
      <c r="D54" s="107" t="s">
        <v>40</v>
      </c>
      <c r="E54" s="107" t="s">
        <v>40</v>
      </c>
      <c r="F54" s="107" t="s">
        <v>40</v>
      </c>
      <c r="G54" s="105">
        <f t="shared" si="4"/>
        <v>50</v>
      </c>
    </row>
    <row r="55" ht="15.75" customHeight="1">
      <c r="A55" s="100">
        <v>2.0</v>
      </c>
      <c r="B55" s="106" t="s">
        <v>62</v>
      </c>
      <c r="C55" s="102" t="s">
        <v>39</v>
      </c>
      <c r="D55" s="103" t="s">
        <v>40</v>
      </c>
      <c r="E55" s="103" t="s">
        <v>40</v>
      </c>
      <c r="F55" s="104" t="s">
        <v>40</v>
      </c>
      <c r="G55" s="105">
        <f t="shared" si="4"/>
        <v>50</v>
      </c>
    </row>
    <row r="56" ht="15.75" customHeight="1">
      <c r="A56" s="100">
        <v>4.0</v>
      </c>
      <c r="B56" s="106" t="s">
        <v>63</v>
      </c>
      <c r="C56" s="102" t="s">
        <v>39</v>
      </c>
      <c r="D56" s="103" t="s">
        <v>20</v>
      </c>
      <c r="E56" s="103" t="s">
        <v>20</v>
      </c>
      <c r="F56" s="103" t="s">
        <v>20</v>
      </c>
      <c r="G56" s="105">
        <f t="shared" si="4"/>
        <v>0</v>
      </c>
    </row>
    <row r="57" ht="15.75" customHeight="1">
      <c r="A57" s="100">
        <v>3.0</v>
      </c>
      <c r="B57" s="106" t="s">
        <v>64</v>
      </c>
      <c r="C57" s="102" t="s">
        <v>39</v>
      </c>
      <c r="D57" s="103" t="s">
        <v>40</v>
      </c>
      <c r="E57" s="103" t="s">
        <v>40</v>
      </c>
      <c r="F57" s="104" t="s">
        <v>40</v>
      </c>
      <c r="G57" s="105">
        <f t="shared" si="4"/>
        <v>50</v>
      </c>
    </row>
    <row r="58" ht="15.75" customHeight="1">
      <c r="A58" s="100">
        <v>8.0</v>
      </c>
      <c r="B58" s="106" t="s">
        <v>65</v>
      </c>
      <c r="C58" s="102" t="s">
        <v>39</v>
      </c>
      <c r="D58" s="103" t="s">
        <v>18</v>
      </c>
      <c r="E58" s="103" t="s">
        <v>18</v>
      </c>
      <c r="F58" s="103" t="s">
        <v>18</v>
      </c>
      <c r="G58" s="105">
        <f t="shared" si="4"/>
        <v>100</v>
      </c>
    </row>
    <row r="59" ht="15.75" customHeight="1">
      <c r="A59" s="100">
        <v>4.0</v>
      </c>
      <c r="B59" s="106" t="s">
        <v>66</v>
      </c>
      <c r="C59" s="102" t="s">
        <v>39</v>
      </c>
      <c r="D59" s="103" t="s">
        <v>20</v>
      </c>
      <c r="E59" s="103" t="s">
        <v>20</v>
      </c>
      <c r="F59" s="103" t="s">
        <v>20</v>
      </c>
      <c r="G59" s="105">
        <f t="shared" si="4"/>
        <v>0</v>
      </c>
    </row>
    <row r="60" ht="15.75" customHeight="1">
      <c r="A60" s="100">
        <v>8.0</v>
      </c>
      <c r="B60" s="106" t="s">
        <v>67</v>
      </c>
      <c r="C60" s="102" t="s">
        <v>39</v>
      </c>
      <c r="D60" s="103" t="s">
        <v>18</v>
      </c>
      <c r="E60" s="103" t="s">
        <v>18</v>
      </c>
      <c r="F60" s="103" t="s">
        <v>18</v>
      </c>
      <c r="G60" s="105">
        <f t="shared" si="4"/>
        <v>100</v>
      </c>
    </row>
    <row r="61" ht="15.75" customHeight="1">
      <c r="A61" s="100">
        <v>1.0</v>
      </c>
      <c r="B61" s="106" t="s">
        <v>68</v>
      </c>
      <c r="C61" s="102" t="s">
        <v>39</v>
      </c>
      <c r="D61" s="103" t="s">
        <v>40</v>
      </c>
      <c r="E61" s="103" t="s">
        <v>40</v>
      </c>
      <c r="F61" s="104" t="s">
        <v>18</v>
      </c>
      <c r="G61" s="105">
        <f t="shared" si="4"/>
        <v>66.66666667</v>
      </c>
    </row>
    <row r="62" ht="15.75" customHeight="1">
      <c r="A62" s="100">
        <v>6.0</v>
      </c>
      <c r="B62" s="106" t="s">
        <v>69</v>
      </c>
      <c r="C62" s="102" t="s">
        <v>39</v>
      </c>
      <c r="D62" s="107" t="s">
        <v>40</v>
      </c>
      <c r="E62" s="107" t="s">
        <v>40</v>
      </c>
      <c r="F62" s="107" t="s">
        <v>40</v>
      </c>
      <c r="G62" s="105">
        <f t="shared" si="4"/>
        <v>50</v>
      </c>
    </row>
    <row r="63" ht="15.75" customHeight="1">
      <c r="A63" s="100">
        <v>4.0</v>
      </c>
      <c r="B63" s="106" t="s">
        <v>70</v>
      </c>
      <c r="C63" s="102" t="s">
        <v>39</v>
      </c>
      <c r="D63" s="103" t="s">
        <v>20</v>
      </c>
      <c r="E63" s="103" t="s">
        <v>20</v>
      </c>
      <c r="F63" s="103" t="s">
        <v>20</v>
      </c>
      <c r="G63" s="105">
        <f t="shared" si="4"/>
        <v>0</v>
      </c>
    </row>
    <row r="64" ht="15.75" customHeight="1">
      <c r="A64" s="100">
        <v>5.0</v>
      </c>
      <c r="B64" s="106" t="s">
        <v>71</v>
      </c>
      <c r="C64" s="102" t="s">
        <v>39</v>
      </c>
      <c r="D64" s="107" t="s">
        <v>40</v>
      </c>
      <c r="E64" s="107" t="s">
        <v>40</v>
      </c>
      <c r="F64" s="107" t="s">
        <v>40</v>
      </c>
      <c r="G64" s="105">
        <f t="shared" si="4"/>
        <v>50</v>
      </c>
    </row>
    <row r="65" ht="15.75" customHeight="1">
      <c r="A65" s="100">
        <v>4.0</v>
      </c>
      <c r="B65" s="106" t="s">
        <v>72</v>
      </c>
      <c r="C65" s="102" t="s">
        <v>39</v>
      </c>
      <c r="D65" s="103" t="s">
        <v>20</v>
      </c>
      <c r="E65" s="103" t="s">
        <v>20</v>
      </c>
      <c r="F65" s="103" t="s">
        <v>20</v>
      </c>
      <c r="G65" s="105">
        <f t="shared" si="4"/>
        <v>0</v>
      </c>
    </row>
    <row r="66" ht="15.75" customHeight="1">
      <c r="A66" s="100">
        <v>8.0</v>
      </c>
      <c r="B66" s="106" t="s">
        <v>73</v>
      </c>
      <c r="C66" s="102" t="s">
        <v>39</v>
      </c>
      <c r="D66" s="103" t="s">
        <v>18</v>
      </c>
      <c r="E66" s="103" t="s">
        <v>18</v>
      </c>
      <c r="F66" s="103" t="s">
        <v>18</v>
      </c>
      <c r="G66" s="105">
        <f t="shared" si="4"/>
        <v>100</v>
      </c>
    </row>
    <row r="67" ht="15.75" customHeight="1">
      <c r="A67" s="100">
        <v>1.0</v>
      </c>
      <c r="B67" s="106" t="s">
        <v>74</v>
      </c>
      <c r="C67" s="102" t="s">
        <v>39</v>
      </c>
      <c r="D67" s="103" t="s">
        <v>40</v>
      </c>
      <c r="E67" s="103" t="s">
        <v>40</v>
      </c>
      <c r="F67" s="104" t="s">
        <v>18</v>
      </c>
      <c r="G67" s="105">
        <f t="shared" si="4"/>
        <v>66.66666667</v>
      </c>
    </row>
    <row r="68" ht="15.75" customHeight="1">
      <c r="A68" s="100">
        <v>4.0</v>
      </c>
      <c r="B68" s="106" t="s">
        <v>75</v>
      </c>
      <c r="C68" s="102" t="s">
        <v>39</v>
      </c>
      <c r="D68" s="103" t="s">
        <v>20</v>
      </c>
      <c r="E68" s="103" t="s">
        <v>20</v>
      </c>
      <c r="F68" s="103" t="s">
        <v>20</v>
      </c>
      <c r="G68" s="105">
        <f t="shared" si="4"/>
        <v>0</v>
      </c>
    </row>
    <row r="69" ht="15.75" customHeight="1">
      <c r="A69" s="100">
        <v>3.0</v>
      </c>
      <c r="B69" s="106" t="s">
        <v>76</v>
      </c>
      <c r="C69" s="102" t="s">
        <v>39</v>
      </c>
      <c r="D69" s="103" t="s">
        <v>40</v>
      </c>
      <c r="E69" s="103" t="s">
        <v>40</v>
      </c>
      <c r="F69" s="104" t="s">
        <v>40</v>
      </c>
      <c r="G69" s="105">
        <f t="shared" si="4"/>
        <v>50</v>
      </c>
    </row>
    <row r="70" ht="15.75" customHeight="1">
      <c r="A70" s="100">
        <v>5.0</v>
      </c>
      <c r="B70" s="106" t="s">
        <v>77</v>
      </c>
      <c r="C70" s="102" t="s">
        <v>39</v>
      </c>
      <c r="D70" s="107" t="s">
        <v>40</v>
      </c>
      <c r="E70" s="107" t="s">
        <v>40</v>
      </c>
      <c r="F70" s="107" t="s">
        <v>40</v>
      </c>
      <c r="G70" s="105">
        <f t="shared" si="4"/>
        <v>50</v>
      </c>
    </row>
    <row r="71" ht="15.75" customHeight="1">
      <c r="A71" s="100">
        <v>7.0</v>
      </c>
      <c r="B71" s="106" t="s">
        <v>78</v>
      </c>
      <c r="C71" s="102" t="s">
        <v>39</v>
      </c>
      <c r="D71" s="107" t="s">
        <v>40</v>
      </c>
      <c r="E71" s="107" t="s">
        <v>40</v>
      </c>
      <c r="F71" s="107" t="s">
        <v>40</v>
      </c>
      <c r="G71" s="105">
        <f t="shared" si="4"/>
        <v>50</v>
      </c>
    </row>
    <row r="72" ht="15.75" customHeight="1">
      <c r="A72" s="100">
        <v>7.0</v>
      </c>
      <c r="B72" s="106" t="s">
        <v>79</v>
      </c>
      <c r="C72" s="102" t="s">
        <v>39</v>
      </c>
      <c r="D72" s="107" t="s">
        <v>40</v>
      </c>
      <c r="E72" s="107" t="s">
        <v>40</v>
      </c>
      <c r="F72" s="107" t="s">
        <v>40</v>
      </c>
      <c r="G72" s="105">
        <f t="shared" si="4"/>
        <v>50</v>
      </c>
    </row>
    <row r="73" ht="15.75" customHeight="1">
      <c r="A73" s="100">
        <v>5.0</v>
      </c>
      <c r="B73" s="106" t="s">
        <v>80</v>
      </c>
      <c r="C73" s="102" t="s">
        <v>39</v>
      </c>
      <c r="D73" s="107" t="s">
        <v>40</v>
      </c>
      <c r="E73" s="107" t="s">
        <v>40</v>
      </c>
      <c r="F73" s="107" t="s">
        <v>40</v>
      </c>
      <c r="G73" s="105">
        <f t="shared" si="4"/>
        <v>50</v>
      </c>
    </row>
    <row r="74" ht="15.75" customHeight="1">
      <c r="A74" s="100">
        <v>7.0</v>
      </c>
      <c r="B74" s="106" t="s">
        <v>81</v>
      </c>
      <c r="C74" s="102" t="s">
        <v>39</v>
      </c>
      <c r="D74" s="107" t="s">
        <v>40</v>
      </c>
      <c r="E74" s="107" t="s">
        <v>40</v>
      </c>
      <c r="F74" s="107" t="s">
        <v>40</v>
      </c>
      <c r="G74" s="105">
        <f t="shared" si="4"/>
        <v>50</v>
      </c>
    </row>
    <row r="75" ht="15.75" customHeight="1">
      <c r="A75" s="100">
        <v>7.0</v>
      </c>
      <c r="B75" s="106" t="s">
        <v>82</v>
      </c>
      <c r="C75" s="102" t="s">
        <v>39</v>
      </c>
      <c r="D75" s="107" t="s">
        <v>40</v>
      </c>
      <c r="E75" s="107" t="s">
        <v>40</v>
      </c>
      <c r="F75" s="107" t="s">
        <v>40</v>
      </c>
      <c r="G75" s="105">
        <f t="shared" si="4"/>
        <v>50</v>
      </c>
    </row>
    <row r="76" ht="15.75" customHeight="1">
      <c r="A76" s="100">
        <v>3.0</v>
      </c>
      <c r="B76" s="106" t="s">
        <v>83</v>
      </c>
      <c r="C76" s="102" t="s">
        <v>39</v>
      </c>
      <c r="D76" s="103" t="s">
        <v>40</v>
      </c>
      <c r="E76" s="103" t="s">
        <v>40</v>
      </c>
      <c r="F76" s="104" t="s">
        <v>40</v>
      </c>
      <c r="G76" s="105">
        <f t="shared" si="4"/>
        <v>50</v>
      </c>
    </row>
    <row r="77" ht="15.75" customHeight="1">
      <c r="A77" s="100">
        <v>5.0</v>
      </c>
      <c r="B77" s="106" t="s">
        <v>84</v>
      </c>
      <c r="C77" s="102" t="s">
        <v>39</v>
      </c>
      <c r="D77" s="107" t="s">
        <v>40</v>
      </c>
      <c r="E77" s="107" t="s">
        <v>40</v>
      </c>
      <c r="F77" s="107" t="s">
        <v>40</v>
      </c>
      <c r="G77" s="105">
        <f t="shared" si="4"/>
        <v>50</v>
      </c>
    </row>
    <row r="78" ht="15.75" customHeight="1">
      <c r="A78" s="65"/>
      <c r="B78" s="106"/>
      <c r="C78" s="102"/>
      <c r="D78" s="108"/>
      <c r="E78" s="108"/>
      <c r="F78" s="108"/>
      <c r="G78" s="105">
        <f t="shared" si="4"/>
        <v>0</v>
      </c>
    </row>
    <row r="79" ht="15.75" customHeight="1">
      <c r="A79" s="65"/>
      <c r="B79" s="106"/>
      <c r="C79" s="102"/>
      <c r="D79" s="108"/>
      <c r="E79" s="108"/>
      <c r="F79" s="108"/>
      <c r="G79" s="105">
        <f t="shared" si="4"/>
        <v>0</v>
      </c>
    </row>
    <row r="80" ht="15.75" customHeight="1">
      <c r="A80" s="65"/>
      <c r="B80" s="106"/>
      <c r="C80" s="102"/>
      <c r="D80" s="108"/>
      <c r="E80" s="108"/>
      <c r="F80" s="108"/>
      <c r="G80" s="105">
        <f t="shared" si="4"/>
        <v>0</v>
      </c>
    </row>
    <row r="81" ht="15.75" customHeight="1">
      <c r="A81" s="65"/>
      <c r="B81" s="106"/>
      <c r="C81" s="102"/>
      <c r="D81" s="108"/>
      <c r="E81" s="108"/>
      <c r="F81" s="108"/>
      <c r="G81" s="105">
        <f t="shared" si="4"/>
        <v>0</v>
      </c>
    </row>
    <row r="82" ht="15.75" customHeight="1">
      <c r="A82" s="65"/>
      <c r="B82" s="109"/>
      <c r="C82" s="110"/>
      <c r="D82" s="111"/>
      <c r="E82" s="111"/>
      <c r="F82" s="111"/>
      <c r="G82" s="105">
        <f t="shared" si="4"/>
        <v>0</v>
      </c>
    </row>
    <row r="83" ht="15.75" customHeight="1">
      <c r="A83" s="112"/>
      <c r="B83" s="113"/>
      <c r="C83" s="114"/>
      <c r="D83" s="113"/>
      <c r="E83" s="113"/>
      <c r="F83" s="113"/>
      <c r="G83" s="115"/>
    </row>
    <row r="84" ht="18.0" customHeight="1">
      <c r="A84" s="65"/>
      <c r="B84" s="116" t="s">
        <v>18</v>
      </c>
      <c r="C84" s="117">
        <f t="shared" ref="C84:E84" si="5">COUNTIF(D33:D82, "Excelente")</f>
        <v>6</v>
      </c>
      <c r="D84" s="117">
        <f t="shared" si="5"/>
        <v>6</v>
      </c>
      <c r="E84" s="117">
        <f t="shared" si="5"/>
        <v>11</v>
      </c>
      <c r="F84" s="117">
        <f t="shared" ref="F84:F86" si="7">SUM(C84:E84)</f>
        <v>23</v>
      </c>
      <c r="G84" s="118"/>
    </row>
    <row r="85" ht="18.0" customHeight="1">
      <c r="A85" s="65"/>
      <c r="B85" s="116" t="s">
        <v>40</v>
      </c>
      <c r="C85" s="117">
        <f t="shared" ref="C85:E85" si="6">COUNTIF(D33:D82, "Satisfactorio")</f>
        <v>33</v>
      </c>
      <c r="D85" s="117">
        <f t="shared" si="6"/>
        <v>33</v>
      </c>
      <c r="E85" s="117">
        <f t="shared" si="6"/>
        <v>28</v>
      </c>
      <c r="F85" s="117">
        <f t="shared" si="7"/>
        <v>94</v>
      </c>
      <c r="G85" s="118"/>
    </row>
    <row r="86" ht="18.0" customHeight="1">
      <c r="A86" s="65"/>
      <c r="B86" s="116" t="s">
        <v>20</v>
      </c>
      <c r="C86" s="117">
        <f t="shared" ref="C86:E86" si="8">COUNTIF(D33:D82, "Insatisfactorio")</f>
        <v>6</v>
      </c>
      <c r="D86" s="117">
        <f t="shared" si="8"/>
        <v>6</v>
      </c>
      <c r="E86" s="117">
        <f t="shared" si="8"/>
        <v>6</v>
      </c>
      <c r="F86" s="117">
        <f t="shared" si="7"/>
        <v>18</v>
      </c>
      <c r="G86" s="118"/>
    </row>
    <row r="87" ht="15.75" customHeight="1">
      <c r="A87" s="112"/>
      <c r="B87" s="113"/>
      <c r="C87" s="113"/>
      <c r="D87" s="113"/>
      <c r="E87" s="113"/>
      <c r="F87" s="113"/>
      <c r="G87" s="35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2:$G$82">
    <sortState ref="A32:G82">
      <sortCondition ref="B32:B82"/>
      <sortCondition ref="A32:A82"/>
    </sortState>
  </autoFilter>
  <mergeCells count="9">
    <mergeCell ref="D15:D16"/>
    <mergeCell ref="C26:D26"/>
    <mergeCell ref="F4:F5"/>
    <mergeCell ref="C8:F8"/>
    <mergeCell ref="B15:B16"/>
    <mergeCell ref="C15:C16"/>
    <mergeCell ref="E15:E16"/>
    <mergeCell ref="C4:E4"/>
    <mergeCell ref="C5:E5"/>
  </mergeCells>
  <dataValidations>
    <dataValidation type="list" allowBlank="1" showErrorMessage="1" sqref="C33:C82">
      <formula1>"Quimica,Producción,Civil,Eléctrica,Sistemas,Mecáncia"</formula1>
    </dataValidation>
    <dataValidation type="list" allowBlank="1" sqref="D33:F82">
      <formula1>"Insatisfactorio,Satisfactorio,Excelente"</formula1>
    </dataValidation>
  </dataValidations>
  <drawing r:id="rId1"/>
</worksheet>
</file>